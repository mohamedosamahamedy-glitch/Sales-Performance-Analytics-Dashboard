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D STORE\Downloads\"/>
    </mc:Choice>
  </mc:AlternateContent>
  <xr:revisionPtr revIDLastSave="0" documentId="8_{2D764E9A-3AA2-40D9-AE35-140E5C8FA8A8}" xr6:coauthVersionLast="47" xr6:coauthVersionMax="47" xr10:uidLastSave="{00000000-0000-0000-0000-000000000000}"/>
  <bookViews>
    <workbookView xWindow="-120" yWindow="-120" windowWidth="29040" windowHeight="15840" activeTab="2" xr2:uid="{27E45594-356F-4461-B674-765AADD1C34E}"/>
  </bookViews>
  <sheets>
    <sheet name="Sheet2" sheetId="4" r:id="rId1"/>
    <sheet name="products" sheetId="3" r:id="rId2"/>
    <sheet name="Dashboard" sheetId="6" r:id="rId3"/>
  </sheets>
  <definedNames>
    <definedName name="_xlcn.WorksheetConnection_Book1products" hidden="1">products[]</definedName>
    <definedName name="ExternalData_2" localSheetId="1" hidden="1">products!$A$1:$D$4</definedName>
  </definedNames>
  <calcPr calcId="191029"/>
  <pivotCaches>
    <pivotCache cacheId="1" r:id="rId4"/>
    <pivotCache cacheId="2" r:id="rId5"/>
    <pivotCache cacheId="3" r:id="rId6"/>
    <pivotCache cacheId="4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302788b8-bce9-4c7b-ae8a-bf57316db28a" name="customers" connection="Query - customers"/>
          <x15:modelTable id="orders_0de9a361-3a23-4bbf-add0-bcf249b204f9" name="orders" connection="Query - orders"/>
          <x15:modelTable id="products" name="products" connection="WorksheetConnection_Book1!products"/>
        </x15:modelTables>
        <x15:modelRelationships>
          <x15:modelRelationship fromTable="orders" fromColumn="customer_id" toTable="customers" toColumn="customer_id"/>
          <x15:modelRelationship fromTable="orders" fromColumn="product_id" toTable="products" toColumn="produc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4" i="6" l="1"/>
  <c r="C42" i="6"/>
  <c r="C41" i="6"/>
  <c r="C40" i="6"/>
  <c r="C39" i="6"/>
  <c r="C38" i="6"/>
  <c r="H11" i="6"/>
  <c r="E11" i="6"/>
  <c r="B11" i="6"/>
  <c r="H6" i="6"/>
  <c r="E6" i="6"/>
  <c r="B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9FA2E4-AEF0-4480-AAD3-069CAF9F5528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df50d63a-b0c0-404a-89ea-5aa902c957b3"/>
      </ext>
    </extLst>
  </connection>
  <connection id="2" xr16:uid="{7C33382C-65FF-4C46-98B7-7336D3CCE279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0f7eab41-e5d6-47c4-99c9-4eb77e376ba5"/>
      </ext>
    </extLst>
  </connection>
  <connection id="3" xr16:uid="{6F33CC1B-868B-4D01-9C8D-4DBD2FB0601A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69725389-CDC4-4A09-9B60-9A059A9DD748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5" xr16:uid="{9929159F-BB4F-4A46-B1E4-25348F37782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1836253F-35FF-489A-AA2F-09E30F691C67}" name="WorksheetConnection_Book1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Book1products"/>
        </x15:connection>
      </ext>
    </extLst>
  </connection>
</connections>
</file>

<file path=xl/sharedStrings.xml><?xml version="1.0" encoding="utf-8"?>
<sst xmlns="http://schemas.openxmlformats.org/spreadsheetml/2006/main" count="54" uniqueCount="39">
  <si>
    <t>product_id</t>
  </si>
  <si>
    <t>product_name</t>
  </si>
  <si>
    <t>category</t>
  </si>
  <si>
    <t>price</t>
  </si>
  <si>
    <t>Laptop</t>
  </si>
  <si>
    <t>Electronics</t>
  </si>
  <si>
    <t>Phone</t>
  </si>
  <si>
    <t>Headphones</t>
  </si>
  <si>
    <t>Accessories</t>
  </si>
  <si>
    <t>Row Labels</t>
  </si>
  <si>
    <t>Grand Total</t>
  </si>
  <si>
    <t>Jan</t>
  </si>
  <si>
    <t>Feb</t>
  </si>
  <si>
    <t>Mar</t>
  </si>
  <si>
    <t>Sum of Revenue</t>
  </si>
  <si>
    <t>Sum of quantity</t>
  </si>
  <si>
    <t>Total Revenue</t>
  </si>
  <si>
    <t>💰 Total Revenue</t>
  </si>
  <si>
    <t>📦 Total Orders</t>
  </si>
  <si>
    <t>🏆 Best Product</t>
  </si>
  <si>
    <t>📊 Total Quantity</t>
  </si>
  <si>
    <t>📅 Best Month</t>
  </si>
  <si>
    <t>📈 Avg Monthly</t>
  </si>
  <si>
    <t>📈 Charts &amp; Analysis</t>
  </si>
  <si>
    <t>📋 Summary Table</t>
  </si>
  <si>
    <t>Metric</t>
  </si>
  <si>
    <t>Value</t>
  </si>
  <si>
    <t>Status</t>
  </si>
  <si>
    <t>Trend</t>
  </si>
  <si>
    <t>✅ Good</t>
  </si>
  <si>
    <t>📈</t>
  </si>
  <si>
    <t>Total Orders</t>
  </si>
  <si>
    <t>Best Month</t>
  </si>
  <si>
    <t>🏆 Top</t>
  </si>
  <si>
    <t>⭐</t>
  </si>
  <si>
    <t>Best Product</t>
  </si>
  <si>
    <t>📊</t>
  </si>
  <si>
    <t>📊 SALES DASHBOARD</t>
  </si>
  <si>
    <t>Avg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</si>
</sst>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28"/>
      <color rgb="FFFFFFFF"/>
      <name val="Aptos Narrow"/>
      <family val="2"/>
      <scheme val="minor"/>
    </font>
    <font>
      <b/>
      <sz val="26"/>
      <color rgb="FF2E7D32"/>
      <name val="Aptos Narrow"/>
      <family val="2"/>
      <scheme val="minor"/>
    </font>
    <font>
      <b/>
      <sz val="26"/>
      <color rgb="FF1565C0"/>
      <name val="Aptos Narrow"/>
      <family val="2"/>
      <scheme val="minor"/>
    </font>
    <font>
      <b/>
      <sz val="26"/>
      <color rgb="FFF57C00"/>
      <name val="Aptos Narrow"/>
      <family val="2"/>
      <scheme val="minor"/>
    </font>
    <font>
      <b/>
      <sz val="26"/>
      <color rgb="FF7B1FA2"/>
      <name val="Aptos Narrow"/>
      <family val="2"/>
      <scheme val="minor"/>
    </font>
    <font>
      <b/>
      <sz val="26"/>
      <color rgb="FF00838F"/>
      <name val="Aptos Narrow"/>
      <family val="2"/>
      <scheme val="minor"/>
    </font>
    <font>
      <b/>
      <sz val="26"/>
      <color rgb="FFC62828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0"/>
      <color rgb="FF757575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8F5E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F57C00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37474F"/>
        <bgColor indexed="64"/>
      </patternFill>
    </fill>
  </fills>
  <borders count="1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9E9E9E"/>
      </top>
      <bottom/>
      <diagonal/>
    </border>
    <border>
      <left/>
      <right/>
      <top/>
      <bottom style="thick">
        <color rgb="FF9E9E9E"/>
      </bottom>
      <diagonal/>
    </border>
    <border>
      <left style="thick">
        <color rgb="FF9E9E9E"/>
      </left>
      <right/>
      <top style="thick">
        <color rgb="FF9E9E9E"/>
      </top>
      <bottom/>
      <diagonal/>
    </border>
    <border>
      <left style="thick">
        <color rgb="FF9E9E9E"/>
      </left>
      <right/>
      <top/>
      <bottom/>
      <diagonal/>
    </border>
    <border>
      <left style="thick">
        <color rgb="FF9E9E9E"/>
      </left>
      <right/>
      <top/>
      <bottom style="thick">
        <color rgb="FF9E9E9E"/>
      </bottom>
      <diagonal/>
    </border>
    <border>
      <left/>
      <right style="thick">
        <color rgb="FF9E9E9E"/>
      </right>
      <top style="thick">
        <color rgb="FF9E9E9E"/>
      </top>
      <bottom/>
      <diagonal/>
    </border>
    <border>
      <left/>
      <right style="thick">
        <color rgb="FF9E9E9E"/>
      </right>
      <top/>
      <bottom/>
      <diagonal/>
    </border>
    <border>
      <left/>
      <right style="thick">
        <color rgb="FF9E9E9E"/>
      </right>
      <top/>
      <bottom style="thick">
        <color rgb="FF9E9E9E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0" fontId="2" fillId="9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10" borderId="13" xfId="0" applyFont="1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5" fillId="3" borderId="1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6" fillId="4" borderId="14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10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1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" fillId="13" borderId="13" xfId="0" applyFont="1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7" fillId="5" borderId="14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8" fillId="15" borderId="14" xfId="0" applyFont="1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1" fillId="16" borderId="13" xfId="0" applyFont="1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0" fillId="16" borderId="16" xfId="0" applyFill="1" applyBorder="1" applyAlignment="1">
      <alignment horizontal="center"/>
    </xf>
    <xf numFmtId="0" fontId="9" fillId="6" borderId="14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pivotCacheDefinition" Target="pivotCache/pivotCacheDefinition4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[Sales.xlsx]Sheet2!Total Revenue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 </a:t>
            </a:r>
            <a:endParaRPr lang="ar-EG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17400</c:v>
                </c:pt>
                <c:pt idx="1">
                  <c:v>23000</c:v>
                </c:pt>
                <c:pt idx="2">
                  <c:v>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C-4AA7-A8D3-5504DC760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469456"/>
        <c:axId val="239478576"/>
      </c:lineChart>
      <c:catAx>
        <c:axId val="23946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478576"/>
        <c:crosses val="autoZero"/>
        <c:auto val="1"/>
        <c:lblAlgn val="ctr"/>
        <c:lblOffset val="100"/>
        <c:noMultiLvlLbl val="0"/>
      </c:catAx>
      <c:valAx>
        <c:axId val="23947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46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[Sales.xlsx]Sheet2!PivotTable7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Sheet2!$J$8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Sheet2!$I$9:$I$12</c:f>
              <c:strCach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strCache>
            </c:strRef>
          </c:cat>
          <c:val>
            <c:numRef>
              <c:f>Sheet2!$J$9:$J$12</c:f>
              <c:numCache>
                <c:formatCode>General</c:formatCode>
                <c:ptCount val="3"/>
                <c:pt idx="0">
                  <c:v>17400</c:v>
                </c:pt>
                <c:pt idx="1">
                  <c:v>15000</c:v>
                </c:pt>
                <c:pt idx="2">
                  <c:v>11600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B-43B4-B87A-FBDF8736B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6335856"/>
        <c:axId val="2126336336"/>
      </c:barChart>
      <c:catAx>
        <c:axId val="2126335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36336"/>
        <c:crosses val="autoZero"/>
        <c:auto val="1"/>
        <c:lblAlgn val="ctr"/>
        <c:lblOffset val="100"/>
        <c:noMultiLvlLbl val="0"/>
      </c:catAx>
      <c:valAx>
        <c:axId val="212633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3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[Sales.xlsx]Sheet2!PivotTable8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687080864887669"/>
          <c:y val="0.25527999506216098"/>
          <c:w val="0.60047397200349961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Sheet2!$Q$13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Sheet2!$P$14:$P$17</c:f>
              <c:strCache>
                <c:ptCount val="3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</c:strCache>
            </c:strRef>
          </c:cat>
          <c:val>
            <c:numRef>
              <c:f>Sheet2!$Q$14:$Q$17</c:f>
              <c:numCache>
                <c:formatCode>General</c:formatCode>
                <c:ptCount val="3"/>
                <c:pt idx="0">
                  <c:v>6000</c:v>
                </c:pt>
                <c:pt idx="1">
                  <c:v>30000</c:v>
                </c:pt>
                <c:pt idx="2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E-4C4A-94B2-BC4CD0139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50624"/>
        <c:axId val="108543424"/>
      </c:barChart>
      <c:lineChart>
        <c:grouping val="standard"/>
        <c:varyColors val="0"/>
        <c:ser>
          <c:idx val="1"/>
          <c:order val="1"/>
          <c:tx>
            <c:strRef>
              <c:f>Sheet2!$R$13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Sheet2!$P$14:$P$17</c:f>
              <c:strCache>
                <c:ptCount val="3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</c:strCache>
            </c:strRef>
          </c:cat>
          <c:val>
            <c:numRef>
              <c:f>Sheet2!$R$14:$R$17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AE-4C4A-94B2-BC4CD0139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50624"/>
        <c:axId val="108543424"/>
      </c:lineChart>
      <c:catAx>
        <c:axId val="10855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43424"/>
        <c:crosses val="autoZero"/>
        <c:auto val="1"/>
        <c:lblAlgn val="ctr"/>
        <c:lblOffset val="100"/>
        <c:noMultiLvlLbl val="0"/>
      </c:catAx>
      <c:valAx>
        <c:axId val="1085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[Sales.xlsx]Sheet2!Total Revenue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17400</c:v>
                </c:pt>
                <c:pt idx="1">
                  <c:v>23000</c:v>
                </c:pt>
                <c:pt idx="2">
                  <c:v>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28-4A25-AD60-A4A66D0FE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619055"/>
        <c:axId val="1737618575"/>
      </c:lineChart>
      <c:catAx>
        <c:axId val="173761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618575"/>
        <c:crosses val="autoZero"/>
        <c:auto val="1"/>
        <c:lblAlgn val="ctr"/>
        <c:lblOffset val="100"/>
        <c:noMultiLvlLbl val="0"/>
      </c:catAx>
      <c:valAx>
        <c:axId val="173761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61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[Sales.xlsx]Sheet2!PivotTable8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📦 Product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Sheet2!$Q$13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Sheet2!$P$14:$P$17</c:f>
              <c:strCache>
                <c:ptCount val="3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</c:strCache>
            </c:strRef>
          </c:cat>
          <c:val>
            <c:numRef>
              <c:f>Sheet2!$Q$14:$Q$17</c:f>
              <c:numCache>
                <c:formatCode>General</c:formatCode>
                <c:ptCount val="3"/>
                <c:pt idx="0">
                  <c:v>6000</c:v>
                </c:pt>
                <c:pt idx="1">
                  <c:v>30000</c:v>
                </c:pt>
                <c:pt idx="2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A-481C-993D-E2A094538903}"/>
            </c:ext>
          </c:extLst>
        </c:ser>
        <c:ser>
          <c:idx val="1"/>
          <c:order val="1"/>
          <c:tx>
            <c:strRef>
              <c:f>Sheet2!$R$13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Sheet2!$P$14:$P$17</c:f>
              <c:strCache>
                <c:ptCount val="3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</c:strCache>
            </c:strRef>
          </c:cat>
          <c:val>
            <c:numRef>
              <c:f>Sheet2!$R$14:$R$17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AA-481C-993D-E2A094538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7616655"/>
        <c:axId val="1737620015"/>
      </c:barChart>
      <c:catAx>
        <c:axId val="173761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620015"/>
        <c:crosses val="autoZero"/>
        <c:auto val="1"/>
        <c:lblAlgn val="ctr"/>
        <c:lblOffset val="100"/>
        <c:noMultiLvlLbl val="0"/>
      </c:catAx>
      <c:valAx>
        <c:axId val="173762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61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136367</xdr:rowOff>
    </xdr:from>
    <xdr:to>
      <xdr:col>5</xdr:col>
      <xdr:colOff>790575</xdr:colOff>
      <xdr:row>44</xdr:row>
      <xdr:rowOff>24750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D66ACC-2C0A-45F5-C2BB-B575BD5F7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247785</xdr:colOff>
      <xdr:row>23</xdr:row>
      <xdr:rowOff>174468</xdr:rowOff>
    </xdr:from>
    <xdr:to>
      <xdr:col>12</xdr:col>
      <xdr:colOff>422857</xdr:colOff>
      <xdr:row>38</xdr:row>
      <xdr:rowOff>60168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E6874-F686-E9E5-47EE-06D3E4841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533265</xdr:colOff>
      <xdr:row>22</xdr:row>
      <xdr:rowOff>12140</xdr:rowOff>
    </xdr:from>
    <xdr:to>
      <xdr:col>21</xdr:col>
      <xdr:colOff>304665</xdr:colOff>
      <xdr:row>36</xdr:row>
      <xdr:rowOff>88341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4DE18A-2DDD-4827-61BD-DDCC77206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858591</xdr:colOff>
      <xdr:row>30</xdr:row>
      <xdr:rowOff>26831</xdr:rowOff>
    </xdr:from>
    <xdr:to>
      <xdr:col>9</xdr:col>
      <xdr:colOff>5472</xdr:colOff>
      <xdr:row>31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5E3F1CF-10F3-279A-802B-194A2A76DBAE}"/>
            </a:ext>
          </a:extLst>
        </xdr:cNvPr>
        <xdr:cNvSpPr/>
      </xdr:nvSpPr>
      <xdr:spPr>
        <a:xfrm>
          <a:off x="9122535" y="5661338"/>
          <a:ext cx="45719" cy="16098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8</xdr:col>
      <xdr:colOff>177800</xdr:colOff>
      <xdr:row>29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879EA-ABC4-7A11-F393-BDCC8BE6B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257175</xdr:colOff>
      <xdr:row>16</xdr:row>
      <xdr:rowOff>0</xdr:rowOff>
    </xdr:from>
    <xdr:to>
      <xdr:col>11</xdr:col>
      <xdr:colOff>3381375</xdr:colOff>
      <xdr:row>29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0B661C-AAC6-EF06-30BF-9EE0CD01E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D STORE" refreshedDate="46152.54939039352" backgroundQuery="1" createdVersion="8" refreshedVersion="8" minRefreshableVersion="3" recordCount="0" supportSubquery="1" supportAdvancedDrill="1" xr:uid="{0C510C4C-4EF2-4B16-A14C-7DF77C3689AD}">
  <cacheSource type="external" connectionId="5"/>
  <cacheFields count="3">
    <cacheField name="[products].[product_name].[product_name]" caption="product_name" numFmtId="0" hierarchy="11" level="1">
      <sharedItems count="3">
        <s v="Headphones"/>
        <s v="Laptop"/>
        <s v="Phone"/>
      </sharedItems>
    </cacheField>
    <cacheField name="[Measures].[Sum of Revenue]" caption="Sum of Revenue" numFmtId="0" hierarchy="19" level="32767"/>
    <cacheField name="[Measures].[Sum of quantity]" caption="Sum of quantity" numFmtId="0" hierarchy="20" level="32767"/>
  </cacheFields>
  <cacheHierarchies count="23">
    <cacheHierarchy uniqueName="[customers].[customer_id]" caption="customer_id" attribute="1" defaultMemberUniqueName="[customers].[customer_id].[All]" allUniqueName="[customers].[customer_id].[All]" dimensionUniqueName="[customers]" displayFolder="" count="2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2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2" memberValueDatatype="20" unbalanced="0"/>
    <cacheHierarchy uniqueName="[orders].[product_id]" caption="product_id" attribute="1" defaultMemberUniqueName="[orders].[product_id].[All]" allUniqueName="[orders].[product_id].[All]" dimensionUniqueName="[orders]" displayFolder="" count="2" memberValueDatatype="20" unbalanced="0"/>
    <cacheHierarchy uniqueName="[orders].[quantity]" caption="quantity" attribute="1" defaultMemberUniqueName="[orders].[quantity].[All]" allUniqueName="[orders].[quantity].[All]" dimensionUniqueName="[orders]" displayFolder="" count="2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/>
    <cacheHierarchy uniqueName="[orders].[Revenue]" caption="Revenue" attribute="1" defaultMemberUniqueName="[orders].[Revenue].[All]" allUniqueName="[orders].[Revenue].[All]" dimensionUniqueName="[orders]" displayFolder="" count="2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price]" caption="price" attribute="1" defaultMemberUniqueName="[products].[price].[All]" allUniqueName="[products].[price].[All]" dimensionUniqueName="[products]" displayFolder="" count="2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2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D STORE" refreshedDate="46152.536670254631" backgroundQuery="1" createdVersion="8" refreshedVersion="8" minRefreshableVersion="3" recordCount="0" supportSubquery="1" supportAdvancedDrill="1" xr:uid="{29FA0813-A707-4770-B918-AC0702ADC80D}">
  <cacheSource type="external" connectionId="5"/>
  <cacheFields count="2">
    <cacheField name="[customers].[customer_id].[customer_id]" caption="customer_id" numFmtId="0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customers].[customer_id].&amp;[1]"/>
            <x15:cachedUniqueName index="1" name="[customers].[customer_id].&amp;[2]"/>
            <x15:cachedUniqueName index="2" name="[customers].[customer_id].&amp;[3]"/>
          </x15:cachedUniqueNames>
        </ext>
      </extLst>
    </cacheField>
    <cacheField name="[Measures].[Sum of Revenue]" caption="Sum of Revenue" numFmtId="0" hierarchy="19" level="32767"/>
  </cacheFields>
  <cacheHierarchies count="23">
    <cacheHierarchy uniqueName="[customers].[customer_id]" caption="customer_id" attribute="1" defaultMemberUniqueName="[customers].[customer_id].[All]" allUniqueName="[customers].[customer_id].[All]" dimensionUniqueName="[customers]" displayFolder="" count="2" memberValueDatatype="20" unbalanced="0">
      <fieldsUsage count="2">
        <fieldUsage x="-1"/>
        <fieldUsage x="0"/>
      </fieldsUsage>
    </cacheHierarchy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2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2" memberValueDatatype="20" unbalanced="0"/>
    <cacheHierarchy uniqueName="[orders].[product_id]" caption="product_id" attribute="1" defaultMemberUniqueName="[orders].[product_id].[All]" allUniqueName="[orders].[product_id].[All]" dimensionUniqueName="[orders]" displayFolder="" count="2" memberValueDatatype="20" unbalanced="0"/>
    <cacheHierarchy uniqueName="[orders].[quantity]" caption="quantity" attribute="1" defaultMemberUniqueName="[orders].[quantity].[All]" allUniqueName="[orders].[quantity].[All]" dimensionUniqueName="[orders]" displayFolder="" count="2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/>
    <cacheHierarchy uniqueName="[orders].[Revenue]" caption="Revenue" attribute="1" defaultMemberUniqueName="[orders].[Revenue].[All]" allUniqueName="[orders].[Revenue].[All]" dimensionUniqueName="[orders]" displayFolder="" count="2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price]" caption="price" attribute="1" defaultMemberUniqueName="[products].[price].[All]" allUniqueName="[products].[price].[All]" dimensionUniqueName="[products]" displayFolder="" count="2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2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D STORE" refreshedDate="46152.529790856483" backgroundQuery="1" createdVersion="8" refreshedVersion="8" minRefreshableVersion="3" recordCount="0" supportSubquery="1" supportAdvancedDrill="1" xr:uid="{1A76B06D-33C8-426D-B735-BE30D0B004DC}">
  <cacheSource type="external" connectionId="5"/>
  <cacheFields count="0"/>
  <cacheHierarchies count="23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].[Revenue]" caption="Revenue" attribute="1" defaultMemberUniqueName="[orders].[Revenue].[All]" allUniqueName="[orders].[Revenue].[All]" dimensionUniqueName="[orders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D STORE" refreshedDate="46152.533454861114" backgroundQuery="1" createdVersion="8" refreshedVersion="8" minRefreshableVersion="3" recordCount="0" supportSubquery="1" supportAdvancedDrill="1" xr:uid="{AE30DDBC-EAE5-4633-B42F-FE84EEBF021D}">
  <cacheSource type="external" connectionId="5"/>
  <cacheFields count="3">
    <cacheField name="[Measures].[Sum of Revenue]" caption="Sum of Revenue" numFmtId="0" hierarchy="19" level="32767"/>
    <cacheField name="[orders].[order_date].[order_date]" caption="order_date" numFmtId="0" hierarchy="7" level="1">
      <sharedItems containsSemiMixedTypes="0" containsNonDate="0" containsDate="1" containsString="0" minDate="2026-01-10T00:00:00" maxDate="2026-03-02T00:00:00" count="5">
        <d v="2026-01-10T00:00:00"/>
        <d v="2026-01-15T00:00:00"/>
        <d v="2026-02-05T00:00:00"/>
        <d v="2026-02-12T00:00:00"/>
        <d v="2026-03-01T00:00:00"/>
      </sharedItems>
    </cacheField>
    <cacheField name="[orders].[order_date (Month)].[order_date (Month)]" caption="order_date (Month)" numFmtId="0" hierarchy="8" level="1">
      <sharedItems count="3">
        <s v="Jan"/>
        <s v="Feb"/>
        <s v="Mar"/>
      </sharedItems>
    </cacheField>
  </cacheFields>
  <cacheHierarchies count="23">
    <cacheHierarchy uniqueName="[customers].[customer_id]" caption="customer_id" attribute="1" defaultMemberUniqueName="[customers].[customer_id].[All]" allUniqueName="[customers].[customer_id].[All]" dimensionUniqueName="[customers]" displayFolder="" count="2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2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2" memberValueDatatype="20" unbalanced="0"/>
    <cacheHierarchy uniqueName="[orders].[product_id]" caption="product_id" attribute="1" defaultMemberUniqueName="[orders].[product_id].[All]" allUniqueName="[orders].[product_id].[All]" dimensionUniqueName="[orders]" displayFolder="" count="2" memberValueDatatype="20" unbalanced="0"/>
    <cacheHierarchy uniqueName="[orders].[quantity]" caption="quantity" attribute="1" defaultMemberUniqueName="[orders].[quantity].[All]" allUniqueName="[orders].[quantity].[All]" dimensionUniqueName="[orders]" displayFolder="" count="2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1"/>
      </fieldsUsage>
    </cacheHierarchy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Revenue]" caption="Revenue" attribute="1" defaultMemberUniqueName="[orders].[Revenue].[All]" allUniqueName="[orders].[Revenue].[All]" dimensionUniqueName="[orders]" displayFolder="" count="2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2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price]" caption="price" attribute="1" defaultMemberUniqueName="[products].[price].[All]" allUniqueName="[products].[price].[All]" dimensionUniqueName="[products]" displayFolder="" count="2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2" memberValueDatatype="20" unbalanced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8502E-2761-4597-923F-A8710196E24E}" name="PivotTable4" cacheId="3" applyNumberFormats="0" applyBorderFormats="0" applyFontFormats="0" applyPatternFormats="0" applyAlignmentFormats="0" applyWidthHeightFormats="1" dataCaption="Values" tag="cbf47749-c226-428b-89b9-c3f882ed2de3" updatedVersion="8" minRefreshableVersion="3" useAutoFormatting="1" itemPrintTitles="1" createdVersion="8" indent="0" outline="1" outlineData="1" multipleFieldFilters="0">
  <location ref="D7:F24" firstHeaderRow="1" firstDataRow="1" firstDataCol="0"/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BDDB2-3759-4B4A-92A6-0C2864127727}" name="Total Revenue" cacheId="4" applyNumberFormats="0" applyBorderFormats="0" applyFontFormats="0" applyPatternFormats="0" applyAlignmentFormats="0" applyWidthHeightFormats="1" dataCaption="Values" tag="84e206e8-8cfc-4ff2-9130-ace934fd8cd9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</pivotFields>
  <rowFields count="2">
    <field x="2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BFBAB-E55B-43C1-9962-19F1E143F1A4}" name="PivotTable8" cacheId="1" applyNumberFormats="0" applyBorderFormats="0" applyFontFormats="0" applyPatternFormats="0" applyAlignmentFormats="0" applyWidthHeightFormats="1" dataCaption="Values" tag="a6308437-a244-4c0b-a281-bf8f301218b2" updatedVersion="8" minRefreshableVersion="3" useAutoFormatting="1" itemPrintTitles="1" createdVersion="8" indent="0" outline="1" outlineData="1" multipleFieldFilters="0" chartFormat="5">
  <location ref="P13:R17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" baseField="0" baseItem="0"/>
    <dataField name="Sum of quantity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FE8C0-D49E-4D90-810A-09FDC7235973}" name="PivotTable7" cacheId="2" applyNumberFormats="0" applyBorderFormats="0" applyFontFormats="0" applyPatternFormats="0" applyAlignmentFormats="0" applyWidthHeightFormats="1" dataCaption="Values" tag="e1f8ca50-6242-45a9-a709-81442b8b8fb8" updatedVersion="8" minRefreshableVersion="3" useAutoFormatting="1" itemPrintTitles="1" createdVersion="8" indent="0" outline="1" outlineData="1" multipleFieldFilters="0" chartFormat="1">
  <location ref="I8:J12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Revenu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8775714-0722-4EEF-B795-A5556A6F4F51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pri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03201C-058B-4352-B84B-89B5E3865C7E}" name="products" displayName="products" ref="A1:D4" tableType="queryTable" totalsRowShown="0">
  <autoFilter ref="A1:D4" xr:uid="{8803201C-058B-4352-B84B-89B5E3865C7E}"/>
  <tableColumns count="4">
    <tableColumn id="1" xr3:uid="{A1EAD236-94C0-42BE-8FD8-AF40F71B7BA3}" uniqueName="1" name="product_id" queryTableFieldId="1"/>
    <tableColumn id="2" xr3:uid="{A92DD0E9-82F0-4C20-99F1-6557AA94BAAB}" uniqueName="2" name="product_name" queryTableFieldId="2" dataDxfId="1"/>
    <tableColumn id="3" xr3:uid="{31FA763A-3B69-4806-A542-247C4A0A4400}" uniqueName="3" name="category" queryTableFieldId="3" dataDxfId="0"/>
    <tableColumn id="4" xr3:uid="{70F93BF1-4CFA-4FFE-93B8-1A948559F5AC}" uniqueName="4" name="pri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1C40-F366-4876-A33F-EB0263B7F902}">
  <dimension ref="A3:R24"/>
  <sheetViews>
    <sheetView zoomScale="71" zoomScaleNormal="71" workbookViewId="0">
      <selection activeCell="T51" sqref="T51"/>
    </sheetView>
  </sheetViews>
  <sheetFormatPr defaultRowHeight="15" x14ac:dyDescent="0.25"/>
  <cols>
    <col min="1" max="1" width="13.42578125" bestFit="1" customWidth="1"/>
    <col min="2" max="2" width="15.85546875" bestFit="1" customWidth="1"/>
    <col min="6" max="6" width="49.28515625" customWidth="1"/>
    <col min="9" max="9" width="13.42578125" bestFit="1" customWidth="1"/>
    <col min="10" max="10" width="15.85546875" bestFit="1" customWidth="1"/>
    <col min="16" max="16" width="13.42578125" bestFit="1" customWidth="1"/>
    <col min="17" max="17" width="15.85546875" bestFit="1" customWidth="1"/>
    <col min="18" max="18" width="15.28515625" bestFit="1" customWidth="1"/>
  </cols>
  <sheetData>
    <row r="3" spans="1:18" x14ac:dyDescent="0.25">
      <c r="A3" s="10" t="s">
        <v>9</v>
      </c>
      <c r="B3" t="s">
        <v>14</v>
      </c>
    </row>
    <row r="4" spans="1:18" x14ac:dyDescent="0.25">
      <c r="A4" s="11" t="s">
        <v>11</v>
      </c>
      <c r="B4">
        <v>17400</v>
      </c>
    </row>
    <row r="5" spans="1:18" x14ac:dyDescent="0.25">
      <c r="A5" s="11" t="s">
        <v>12</v>
      </c>
      <c r="B5">
        <v>23000</v>
      </c>
    </row>
    <row r="6" spans="1:18" x14ac:dyDescent="0.25">
      <c r="A6" s="11" t="s">
        <v>13</v>
      </c>
      <c r="B6">
        <v>3600</v>
      </c>
    </row>
    <row r="7" spans="1:18" x14ac:dyDescent="0.25">
      <c r="A7" s="11" t="s">
        <v>10</v>
      </c>
      <c r="B7">
        <v>44000</v>
      </c>
      <c r="D7" s="1"/>
      <c r="E7" s="2"/>
      <c r="F7" s="3"/>
    </row>
    <row r="8" spans="1:18" x14ac:dyDescent="0.25">
      <c r="D8" s="4"/>
      <c r="E8" s="5"/>
      <c r="F8" s="6"/>
      <c r="I8" s="10" t="s">
        <v>9</v>
      </c>
      <c r="J8" t="s">
        <v>14</v>
      </c>
    </row>
    <row r="9" spans="1:18" x14ac:dyDescent="0.25">
      <c r="D9" s="4"/>
      <c r="E9" s="5"/>
      <c r="F9" s="6"/>
      <c r="I9" s="11">
        <v>1</v>
      </c>
      <c r="J9">
        <v>17400</v>
      </c>
    </row>
    <row r="10" spans="1:18" x14ac:dyDescent="0.25">
      <c r="D10" s="4"/>
      <c r="E10" s="5"/>
      <c r="F10" s="6"/>
      <c r="I10" s="11">
        <v>3</v>
      </c>
      <c r="J10">
        <v>15000</v>
      </c>
    </row>
    <row r="11" spans="1:18" x14ac:dyDescent="0.25">
      <c r="D11" s="4"/>
      <c r="E11" s="5"/>
      <c r="F11" s="6"/>
      <c r="I11" s="11">
        <v>2</v>
      </c>
      <c r="J11">
        <v>11600</v>
      </c>
    </row>
    <row r="12" spans="1:18" x14ac:dyDescent="0.25">
      <c r="D12" s="4"/>
      <c r="E12" s="5"/>
      <c r="F12" s="6"/>
      <c r="I12" s="11" t="s">
        <v>10</v>
      </c>
      <c r="J12">
        <v>44000</v>
      </c>
    </row>
    <row r="13" spans="1:18" x14ac:dyDescent="0.25">
      <c r="D13" s="4"/>
      <c r="E13" s="5"/>
      <c r="F13" s="6"/>
      <c r="P13" s="10" t="s">
        <v>9</v>
      </c>
      <c r="Q13" t="s">
        <v>14</v>
      </c>
      <c r="R13" t="s">
        <v>15</v>
      </c>
    </row>
    <row r="14" spans="1:18" x14ac:dyDescent="0.25">
      <c r="D14" s="4"/>
      <c r="E14" s="5"/>
      <c r="F14" s="6"/>
      <c r="P14" s="11" t="s">
        <v>7</v>
      </c>
      <c r="Q14">
        <v>6000</v>
      </c>
      <c r="R14">
        <v>5</v>
      </c>
    </row>
    <row r="15" spans="1:18" x14ac:dyDescent="0.25">
      <c r="D15" s="4"/>
      <c r="E15" s="5"/>
      <c r="F15" s="6"/>
      <c r="P15" s="11" t="s">
        <v>4</v>
      </c>
      <c r="Q15">
        <v>30000</v>
      </c>
      <c r="R15">
        <v>2</v>
      </c>
    </row>
    <row r="16" spans="1:18" x14ac:dyDescent="0.25">
      <c r="D16" s="4"/>
      <c r="E16" s="5"/>
      <c r="F16" s="6"/>
      <c r="P16" s="11" t="s">
        <v>6</v>
      </c>
      <c r="Q16">
        <v>8000</v>
      </c>
      <c r="R16">
        <v>1</v>
      </c>
    </row>
    <row r="17" spans="4:18" x14ac:dyDescent="0.25">
      <c r="D17" s="4"/>
      <c r="E17" s="5"/>
      <c r="F17" s="6"/>
      <c r="P17" s="11" t="s">
        <v>10</v>
      </c>
      <c r="Q17">
        <v>44000</v>
      </c>
      <c r="R17">
        <v>8</v>
      </c>
    </row>
    <row r="18" spans="4:18" x14ac:dyDescent="0.25">
      <c r="D18" s="4"/>
      <c r="E18" s="5"/>
      <c r="F18" s="6"/>
    </row>
    <row r="19" spans="4:18" x14ac:dyDescent="0.25">
      <c r="D19" s="4"/>
      <c r="E19" s="5"/>
      <c r="F19" s="6"/>
    </row>
    <row r="20" spans="4:18" x14ac:dyDescent="0.25">
      <c r="D20" s="4"/>
      <c r="E20" s="5"/>
      <c r="F20" s="6"/>
    </row>
    <row r="21" spans="4:18" x14ac:dyDescent="0.25">
      <c r="D21" s="4"/>
      <c r="E21" s="5"/>
      <c r="F21" s="6"/>
    </row>
    <row r="22" spans="4:18" x14ac:dyDescent="0.25">
      <c r="D22" s="4"/>
      <c r="E22" s="5"/>
      <c r="F22" s="6"/>
    </row>
    <row r="23" spans="4:18" x14ac:dyDescent="0.25">
      <c r="D23" s="4"/>
      <c r="E23" s="5"/>
      <c r="F23" s="6"/>
    </row>
    <row r="24" spans="4:18" x14ac:dyDescent="0.25">
      <c r="D24" s="7"/>
      <c r="E24" s="8"/>
      <c r="F24" s="9"/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EAB9-3598-4E02-A354-F4AC163C15FE}">
  <dimension ref="A1:D4"/>
  <sheetViews>
    <sheetView workbookViewId="0">
      <selection sqref="A1:D4"/>
    </sheetView>
  </sheetViews>
  <sheetFormatPr defaultRowHeight="15" x14ac:dyDescent="0.25"/>
  <cols>
    <col min="1" max="1" width="12.85546875" bestFit="1" customWidth="1"/>
    <col min="2" max="2" width="16.28515625" bestFit="1" customWidth="1"/>
    <col min="3" max="3" width="11.5703125" bestFit="1" customWidth="1"/>
    <col min="4" max="4" width="7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15000</v>
      </c>
    </row>
    <row r="3" spans="1:4" x14ac:dyDescent="0.25">
      <c r="A3">
        <v>2</v>
      </c>
      <c r="B3" t="s">
        <v>6</v>
      </c>
      <c r="C3" t="s">
        <v>5</v>
      </c>
      <c r="D3">
        <v>8000</v>
      </c>
    </row>
    <row r="4" spans="1:4" x14ac:dyDescent="0.25">
      <c r="A4">
        <v>3</v>
      </c>
      <c r="B4" t="s">
        <v>7</v>
      </c>
      <c r="C4" t="s">
        <v>8</v>
      </c>
      <c r="D4">
        <v>1200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DF021-D99B-4994-8B43-D565A3038ACE}">
  <dimension ref="A1:L55"/>
  <sheetViews>
    <sheetView tabSelected="1" zoomScale="75" zoomScaleNormal="75" workbookViewId="0">
      <selection activeCell="H11" sqref="H11:J13"/>
    </sheetView>
  </sheetViews>
  <sheetFormatPr defaultRowHeight="15" x14ac:dyDescent="0.25"/>
  <cols>
    <col min="1" max="1" width="2.85546875" customWidth="1"/>
    <col min="2" max="10" width="16.140625" customWidth="1"/>
    <col min="11" max="11" width="2.85546875" customWidth="1"/>
    <col min="12" max="12" width="51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25">
      <c r="A2" s="12"/>
      <c r="B2" s="16" t="s">
        <v>37</v>
      </c>
      <c r="C2" s="17"/>
      <c r="D2" s="17"/>
      <c r="E2" s="17"/>
      <c r="F2" s="17"/>
      <c r="G2" s="17"/>
      <c r="H2" s="17"/>
      <c r="I2" s="17"/>
      <c r="J2" s="17"/>
      <c r="K2" s="17"/>
      <c r="L2" s="12"/>
    </row>
    <row r="3" spans="1:12" x14ac:dyDescent="0.25">
      <c r="A3" s="12"/>
      <c r="B3" s="17"/>
      <c r="C3" s="17"/>
      <c r="D3" s="17"/>
      <c r="E3" s="17"/>
      <c r="F3" s="17"/>
      <c r="G3" s="17"/>
      <c r="H3" s="17"/>
      <c r="I3" s="17"/>
      <c r="J3" s="17"/>
      <c r="K3" s="17"/>
      <c r="L3" s="12"/>
    </row>
    <row r="4" spans="1:12" ht="15.75" thickBo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6.5" thickTop="1" x14ac:dyDescent="0.25">
      <c r="A5" s="12"/>
      <c r="B5" s="18" t="s">
        <v>17</v>
      </c>
      <c r="C5" s="19"/>
      <c r="D5" s="19"/>
      <c r="E5" s="25" t="s">
        <v>18</v>
      </c>
      <c r="F5" s="26"/>
      <c r="G5" s="26"/>
      <c r="H5" s="32" t="s">
        <v>19</v>
      </c>
      <c r="I5" s="33"/>
      <c r="J5" s="34"/>
      <c r="K5" s="12"/>
      <c r="L5" s="12"/>
    </row>
    <row r="6" spans="1:12" x14ac:dyDescent="0.25">
      <c r="A6" s="12"/>
      <c r="B6" s="20" t="str">
        <f>TEXT(Sheet2!B7,"#,##0")</f>
        <v>44,000</v>
      </c>
      <c r="C6" s="21"/>
      <c r="D6" s="21"/>
      <c r="E6" s="27">
        <f>COUNTA(Sheet2!A4:A6)</f>
        <v>3</v>
      </c>
      <c r="F6" s="28"/>
      <c r="G6" s="28"/>
      <c r="H6" s="35" t="str">
        <f>INDEX(Sheet2!P14:P16,MATCH(MAX(Sheet2!Q14:Q16),Sheet2!Q14:Q16,0))</f>
        <v>Laptop</v>
      </c>
      <c r="I6" s="36"/>
      <c r="J6" s="37"/>
      <c r="K6" s="12"/>
      <c r="L6" s="12"/>
    </row>
    <row r="7" spans="1:12" x14ac:dyDescent="0.25">
      <c r="A7" s="12"/>
      <c r="B7" s="22"/>
      <c r="C7" s="21"/>
      <c r="D7" s="21"/>
      <c r="E7" s="29"/>
      <c r="F7" s="28"/>
      <c r="G7" s="28"/>
      <c r="H7" s="38"/>
      <c r="I7" s="36"/>
      <c r="J7" s="37"/>
      <c r="K7" s="12"/>
      <c r="L7" s="12"/>
    </row>
    <row r="8" spans="1:12" ht="15.75" thickBot="1" x14ac:dyDescent="0.3">
      <c r="A8" s="12"/>
      <c r="B8" s="23"/>
      <c r="C8" s="24"/>
      <c r="D8" s="24"/>
      <c r="E8" s="30"/>
      <c r="F8" s="31"/>
      <c r="G8" s="31"/>
      <c r="H8" s="39"/>
      <c r="I8" s="40"/>
      <c r="J8" s="41"/>
      <c r="K8" s="12"/>
      <c r="L8" s="12"/>
    </row>
    <row r="9" spans="1:12" ht="16.5" thickTop="1" thickBot="1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ht="16.5" thickTop="1" x14ac:dyDescent="0.25">
      <c r="A10" s="12"/>
      <c r="B10" s="46" t="s">
        <v>20</v>
      </c>
      <c r="C10" s="47"/>
      <c r="D10" s="47"/>
      <c r="E10" s="53" t="s">
        <v>21</v>
      </c>
      <c r="F10" s="54"/>
      <c r="G10" s="54"/>
      <c r="H10" s="60" t="s">
        <v>22</v>
      </c>
      <c r="I10" s="61"/>
      <c r="J10" s="62"/>
      <c r="K10" s="12"/>
      <c r="L10" s="12"/>
    </row>
    <row r="11" spans="1:12" x14ac:dyDescent="0.25">
      <c r="A11" s="12"/>
      <c r="B11" s="48">
        <f>Sheet2!R17</f>
        <v>8</v>
      </c>
      <c r="C11" s="49"/>
      <c r="D11" s="49"/>
      <c r="E11" s="55" t="str">
        <f>INDEX(Sheet2!A4:A6,MATCH(MAX(Sheet2!B4:B6),Sheet2!B4:B6,0))</f>
        <v>Feb</v>
      </c>
      <c r="F11" s="56"/>
      <c r="G11" s="56"/>
      <c r="H11" s="63" t="str">
        <f>TEXT(ROUND(Sheet2!B7/3,0),"#,##0")</f>
        <v>14,667</v>
      </c>
      <c r="I11" s="64"/>
      <c r="J11" s="65"/>
      <c r="K11" s="12"/>
      <c r="L11" s="12"/>
    </row>
    <row r="12" spans="1:12" x14ac:dyDescent="0.25">
      <c r="A12" s="12"/>
      <c r="B12" s="50"/>
      <c r="C12" s="49"/>
      <c r="D12" s="49"/>
      <c r="E12" s="57"/>
      <c r="F12" s="56"/>
      <c r="G12" s="56"/>
      <c r="H12" s="66"/>
      <c r="I12" s="64"/>
      <c r="J12" s="65"/>
      <c r="K12" s="12"/>
      <c r="L12" s="12"/>
    </row>
    <row r="13" spans="1:12" ht="15.75" thickBot="1" x14ac:dyDescent="0.3">
      <c r="A13" s="12"/>
      <c r="B13" s="51"/>
      <c r="C13" s="52"/>
      <c r="D13" s="52"/>
      <c r="E13" s="58"/>
      <c r="F13" s="59"/>
      <c r="G13" s="59"/>
      <c r="H13" s="67"/>
      <c r="I13" s="68"/>
      <c r="J13" s="69"/>
      <c r="K13" s="12"/>
      <c r="L13" s="12"/>
    </row>
    <row r="14" spans="1:12" ht="15.75" thickTop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21" x14ac:dyDescent="0.35">
      <c r="A15" s="12"/>
      <c r="B15" s="42" t="s">
        <v>23</v>
      </c>
      <c r="C15" s="42"/>
      <c r="D15" s="42"/>
      <c r="E15" s="42"/>
      <c r="F15" s="42"/>
      <c r="G15" s="42"/>
      <c r="H15" s="42"/>
      <c r="I15" s="42"/>
      <c r="J15" s="42"/>
      <c r="K15" s="12"/>
      <c r="L15" s="12"/>
    </row>
    <row r="16" spans="1:12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1:12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2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21" x14ac:dyDescent="0.35">
      <c r="A35" s="12"/>
      <c r="B35" s="42" t="s">
        <v>24</v>
      </c>
      <c r="C35" s="43"/>
      <c r="D35" s="43"/>
      <c r="E35" s="43"/>
      <c r="F35" s="43"/>
      <c r="G35" s="43"/>
      <c r="H35" s="43"/>
      <c r="I35" s="43"/>
      <c r="J35" s="43"/>
      <c r="K35" s="12"/>
      <c r="L35" s="12"/>
    </row>
    <row r="36" spans="1:12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x14ac:dyDescent="0.25">
      <c r="A37" s="12"/>
      <c r="B37" s="13" t="s">
        <v>25</v>
      </c>
      <c r="C37" s="13" t="s">
        <v>26</v>
      </c>
      <c r="D37" s="13" t="s">
        <v>27</v>
      </c>
      <c r="E37" s="13" t="s">
        <v>28</v>
      </c>
      <c r="F37" s="12"/>
      <c r="G37" s="12"/>
      <c r="H37" s="12"/>
      <c r="I37" s="12"/>
      <c r="J37" s="12"/>
      <c r="K37" s="12"/>
      <c r="L37" s="12"/>
    </row>
    <row r="38" spans="1:12" x14ac:dyDescent="0.25">
      <c r="A38" s="12"/>
      <c r="B38" s="14" t="s">
        <v>16</v>
      </c>
      <c r="C38" s="14" t="str">
        <f>TEXT(Sheet2!B7,"#,##0")</f>
        <v>44,000</v>
      </c>
      <c r="D38" s="14" t="s">
        <v>29</v>
      </c>
      <c r="E38" s="14" t="s">
        <v>30</v>
      </c>
      <c r="F38" s="12"/>
      <c r="G38" s="12"/>
      <c r="H38" s="12"/>
      <c r="I38" s="12"/>
      <c r="J38" s="12"/>
      <c r="K38" s="12"/>
      <c r="L38" s="12"/>
    </row>
    <row r="39" spans="1:12" x14ac:dyDescent="0.25">
      <c r="A39" s="12"/>
      <c r="B39" s="15" t="s">
        <v>31</v>
      </c>
      <c r="C39" s="15">
        <f>COUNTA(Sheet2!A4:A6)</f>
        <v>3</v>
      </c>
      <c r="D39" s="15" t="s">
        <v>29</v>
      </c>
      <c r="E39" s="15" t="s">
        <v>30</v>
      </c>
      <c r="F39" s="12"/>
      <c r="G39" s="12"/>
      <c r="H39" s="12"/>
      <c r="I39" s="12"/>
      <c r="J39" s="12"/>
      <c r="K39" s="12"/>
      <c r="L39" s="12"/>
    </row>
    <row r="40" spans="1:12" x14ac:dyDescent="0.25">
      <c r="A40" s="12"/>
      <c r="B40" s="14" t="s">
        <v>32</v>
      </c>
      <c r="C40" s="14" t="str">
        <f>INDEX(Sheet2!A4:A6,MATCH(MAX(Sheet2!B4:B6),Sheet2!B4:B6,0))</f>
        <v>Feb</v>
      </c>
      <c r="D40" s="14" t="s">
        <v>33</v>
      </c>
      <c r="E40" s="14" t="s">
        <v>34</v>
      </c>
      <c r="F40" s="12"/>
      <c r="G40" s="12"/>
      <c r="H40" s="12"/>
      <c r="I40" s="12"/>
      <c r="J40" s="12"/>
      <c r="K40" s="12"/>
      <c r="L40" s="12"/>
    </row>
    <row r="41" spans="1:12" x14ac:dyDescent="0.25">
      <c r="A41" s="12"/>
      <c r="B41" s="15" t="s">
        <v>35</v>
      </c>
      <c r="C41" s="15" t="str">
        <f>INDEX(Sheet2!P14:P16,MATCH(MAX(Sheet2!Q14:Q16),Sheet2!Q14:Q16,0))</f>
        <v>Laptop</v>
      </c>
      <c r="D41" s="15" t="s">
        <v>33</v>
      </c>
      <c r="E41" s="15" t="s">
        <v>34</v>
      </c>
      <c r="F41" s="12"/>
      <c r="G41" s="12"/>
      <c r="H41" s="12"/>
      <c r="I41" s="12"/>
      <c r="J41" s="12"/>
      <c r="K41" s="12"/>
      <c r="L41" s="12"/>
    </row>
    <row r="42" spans="1:12" x14ac:dyDescent="0.25">
      <c r="A42" s="12"/>
      <c r="B42" s="14" t="s">
        <v>38</v>
      </c>
      <c r="C42" s="14" t="str">
        <f>TEXT(ROUND(Sheet2!B7/3,0),"#,##0")</f>
        <v>14,667</v>
      </c>
      <c r="D42" s="14" t="s">
        <v>29</v>
      </c>
      <c r="E42" s="14" t="s">
        <v>36</v>
      </c>
      <c r="F42" s="12"/>
      <c r="G42" s="12"/>
      <c r="H42" s="12"/>
      <c r="I42" s="12"/>
      <c r="J42" s="12"/>
      <c r="K42" s="12"/>
      <c r="L42" s="12"/>
    </row>
    <row r="43" spans="1:12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x14ac:dyDescent="0.25">
      <c r="A44" s="12"/>
      <c r="B44" s="44" t="str">
        <f ca="1">"📅 Last Updated: "&amp;TEXT(NOW(),"DD/MM/YYYY HH:MM")</f>
        <v>📅 Last Updated: 20/06/2026 15:01</v>
      </c>
      <c r="C44" s="45"/>
      <c r="D44" s="45"/>
      <c r="E44" s="45"/>
      <c r="F44" s="45"/>
      <c r="G44" s="45"/>
      <c r="H44" s="45"/>
      <c r="I44" s="45"/>
      <c r="J44" s="45"/>
      <c r="K44" s="12"/>
      <c r="L44" s="12"/>
    </row>
    <row r="45" spans="1:12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1:12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1:12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</sheetData>
  <mergeCells count="16">
    <mergeCell ref="B15:J15"/>
    <mergeCell ref="B35:J35"/>
    <mergeCell ref="B44:J44"/>
    <mergeCell ref="B10:D10"/>
    <mergeCell ref="B11:D13"/>
    <mergeCell ref="E10:G10"/>
    <mergeCell ref="E11:G13"/>
    <mergeCell ref="H10:J10"/>
    <mergeCell ref="H11:J13"/>
    <mergeCell ref="B2:K3"/>
    <mergeCell ref="B5:D5"/>
    <mergeCell ref="B6:D8"/>
    <mergeCell ref="E5:G5"/>
    <mergeCell ref="E6:G8"/>
    <mergeCell ref="H5:J5"/>
    <mergeCell ref="H6:J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3B7906E9-BBE1-4D25-90D9-ADA0B9DA48B3}">
  <ds:schemaRefs/>
</ds:datastoreItem>
</file>

<file path=customXml/itemProps2.xml><?xml version="1.0" encoding="utf-8"?>
<ds:datastoreItem xmlns:ds="http://schemas.openxmlformats.org/officeDocument/2006/customXml" ds:itemID="{203B1AED-BB9F-49AB-850E-2EA7285A3DE9}">
  <ds:schemaRefs/>
</ds:datastoreItem>
</file>

<file path=customXml/itemProps3.xml><?xml version="1.0" encoding="utf-8"?>
<ds:datastoreItem xmlns:ds="http://schemas.openxmlformats.org/officeDocument/2006/customXml" ds:itemID="{52C3BCB6-90A5-43C3-9331-9FF193F833B9}">
  <ds:schemaRefs/>
</ds:datastoreItem>
</file>

<file path=customXml/itemProps4.xml><?xml version="1.0" encoding="utf-8"?>
<ds:datastoreItem xmlns:ds="http://schemas.openxmlformats.org/officeDocument/2006/customXml" ds:itemID="{8E9021A5-0867-49E3-99E1-0753BF3CF196}">
  <ds:schemaRefs/>
</ds:datastoreItem>
</file>

<file path=customXml/itemProps5.xml><?xml version="1.0" encoding="utf-8"?>
<ds:datastoreItem xmlns:ds="http://schemas.openxmlformats.org/officeDocument/2006/customXml" ds:itemID="{078CBFA1-91FE-4121-B287-6E9D13662DF5}">
  <ds:schemaRefs/>
</ds:datastoreItem>
</file>

<file path=customXml/itemProps6.xml><?xml version="1.0" encoding="utf-8"?>
<ds:datastoreItem xmlns:ds="http://schemas.openxmlformats.org/officeDocument/2006/customXml" ds:itemID="{0D8C6E88-62B4-4AF1-AB88-B27DDB18F4E4}">
  <ds:schemaRefs/>
</ds:datastoreItem>
</file>

<file path=customXml/itemProps7.xml><?xml version="1.0" encoding="utf-8"?>
<ds:datastoreItem xmlns:ds="http://schemas.openxmlformats.org/officeDocument/2006/customXml" ds:itemID="{F0F1033C-7BB4-42DA-B0EB-77FA6B2A4269}">
  <ds:schemaRefs/>
</ds:datastoreItem>
</file>

<file path=customXml/itemProps8.xml><?xml version="1.0" encoding="utf-8"?>
<ds:datastoreItem xmlns:ds="http://schemas.openxmlformats.org/officeDocument/2006/customXml" ds:itemID="{31E61D55-E6A0-430A-AA90-1989F32583BC}">
  <ds:schemaRefs/>
</ds:datastoreItem>
</file>

<file path=customXml/itemProps9.xml><?xml version="1.0" encoding="utf-8"?>
<ds:datastoreItem xmlns:ds="http://schemas.openxmlformats.org/officeDocument/2006/customXml" ds:itemID="{E57AB065-3386-4F14-A059-C278BF83E622}">
  <ds:schemaRefs/>
</ds:datastoreItem>
</file>

<file path=customXml/itemProps10.xml><?xml version="1.0" encoding="utf-8"?>
<ds:datastoreItem xmlns:ds="http://schemas.openxmlformats.org/officeDocument/2006/customXml" ds:itemID="{E92FBD5C-C555-440C-9F50-C6B82811A192}">
  <ds:schemaRefs/>
</ds:datastoreItem>
</file>

<file path=customXml/itemProps11.xml><?xml version="1.0" encoding="utf-8"?>
<ds:datastoreItem xmlns:ds="http://schemas.openxmlformats.org/officeDocument/2006/customXml" ds:itemID="{28B74373-BC15-4F85-B8D1-38129E982BF6}">
  <ds:schemaRefs/>
</ds:datastoreItem>
</file>

<file path=customXml/itemProps12.xml><?xml version="1.0" encoding="utf-8"?>
<ds:datastoreItem xmlns:ds="http://schemas.openxmlformats.org/officeDocument/2006/customXml" ds:itemID="{05769499-BDD6-4FF9-894B-68009D7CCEAF}">
  <ds:schemaRefs/>
</ds:datastoreItem>
</file>

<file path=customXml/itemProps13.xml><?xml version="1.0" encoding="utf-8"?>
<ds:datastoreItem xmlns:ds="http://schemas.openxmlformats.org/officeDocument/2006/customXml" ds:itemID="{145D2389-7D07-4A88-9710-FD5E35E548BC}">
  <ds:schemaRefs/>
</ds:datastoreItem>
</file>

<file path=customXml/itemProps14.xml><?xml version="1.0" encoding="utf-8"?>
<ds:datastoreItem xmlns:ds="http://schemas.openxmlformats.org/officeDocument/2006/customXml" ds:itemID="{900BD741-7262-4DF5-AC75-B666B068A6AB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1CC98211-B46A-4D84-AAD2-37C1C2386C14}">
  <ds:schemaRefs/>
</ds:datastoreItem>
</file>

<file path=customXml/itemProps16.xml><?xml version="1.0" encoding="utf-8"?>
<ds:datastoreItem xmlns:ds="http://schemas.openxmlformats.org/officeDocument/2006/customXml" ds:itemID="{C79A9BE3-05AE-4917-8E47-EAE5DA5C3E48}">
  <ds:schemaRefs/>
</ds:datastoreItem>
</file>

<file path=customXml/itemProps17.xml><?xml version="1.0" encoding="utf-8"?>
<ds:datastoreItem xmlns:ds="http://schemas.openxmlformats.org/officeDocument/2006/customXml" ds:itemID="{641B9AE7-CE6E-483B-9510-1D03FE58A20B}">
  <ds:schemaRefs/>
</ds:datastoreItem>
</file>

<file path=customXml/itemProps18.xml><?xml version="1.0" encoding="utf-8"?>
<ds:datastoreItem xmlns:ds="http://schemas.openxmlformats.org/officeDocument/2006/customXml" ds:itemID="{88D93A2C-5140-496B-9071-B8C598E2441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products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Osama Hamdy</dc:creator>
  <cp:lastModifiedBy>Mohamed Osama Hamdy</cp:lastModifiedBy>
  <dcterms:created xsi:type="dcterms:W3CDTF">2026-05-10T08:49:49Z</dcterms:created>
  <dcterms:modified xsi:type="dcterms:W3CDTF">2026-06-20T12:01:47Z</dcterms:modified>
</cp:coreProperties>
</file>